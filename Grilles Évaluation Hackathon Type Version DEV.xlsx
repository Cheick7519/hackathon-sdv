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ineoeducation.sharepoint.com/teams/HACKATHON2026-Lescoulisses_1dbuzl/Documents partages/General/SUJET DEV - RENNES/Grille évaluation - pour l'interne/"/>
    </mc:Choice>
  </mc:AlternateContent>
  <xr:revisionPtr revIDLastSave="64" documentId="8_{006CB8FE-9B59-4209-9958-A0E0C2FE8091}" xr6:coauthVersionLast="47" xr6:coauthVersionMax="47" xr10:uidLastSave="{631348BD-7666-4E5A-A510-A832D0AB274D}"/>
  <bookViews>
    <workbookView xWindow="-108" yWindow="-108" windowWidth="23256" windowHeight="12456" xr2:uid="{00000000-000D-0000-FFFF-FFFF00000000}"/>
  </bookViews>
  <sheets>
    <sheet name="Vidéo de Pitch" sheetId="1" r:id="rId1"/>
    <sheet name="(Bonus)Livrable Technique" sheetId="2" r:id="rId2"/>
    <sheet name="Synthèse Jury &amp; Classement Auto" sheetId="3" r:id="rId3"/>
    <sheet name="Mode d'emploi" sheetId="4" r:id="rId4"/>
  </sheets>
  <definedNames>
    <definedName name="_xlnm._FilterDatabase" localSheetId="2" hidden="1">'Synthèse Jury &amp; Classement Auto'!$A$1:$G$39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D24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E2" i="3"/>
  <c r="D2" i="3"/>
  <c r="F40" i="3"/>
  <c r="F39" i="3" l="1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</calcChain>
</file>

<file path=xl/sharedStrings.xml><?xml version="1.0" encoding="utf-8"?>
<sst xmlns="http://schemas.openxmlformats.org/spreadsheetml/2006/main" count="139" uniqueCount="135">
  <si>
    <t>CRITERES D'EVALUATION - PITCH VIDEO (Obligatoire)</t>
  </si>
  <si>
    <t>Points 
maximum</t>
  </si>
  <si>
    <t>Points 
obtenus</t>
  </si>
  <si>
    <t>Commentaires</t>
  </si>
  <si>
    <t>1. STRUCTURE ET NARRATION</t>
  </si>
  <si>
    <t>Clarté de la structure (intro, problème, solution, démo, conclusion)</t>
  </si>
  <si>
    <t>Fluidité du discours et gestion du temps (10–15 min max)</t>
  </si>
  <si>
    <t>2. QUALITÉ VISUELLE ET TECHNIQUE</t>
  </si>
  <si>
    <t>Qualité visuelle (lisibilité, cadrage, slides, démos)</t>
  </si>
  <si>
    <t>Qualité sonore et montage (sons, coupures, rythme)</t>
  </si>
  <si>
    <t>3. CONTEXTE ET OBJECTIFS</t>
  </si>
  <si>
    <t>Compréhension du contexte Day 2 / observabilité et mission Wizards</t>
  </si>
  <si>
    <t>Explication claire des objectifs du projet et des enjeux adressés</t>
  </si>
  <si>
    <t>4. DÉMONSTRATION DU MVP</t>
  </si>
  <si>
    <t>Qualité de la démo (fonctionnalités opérationnelles, clarté, absence de bricolage)</t>
  </si>
  <si>
    <t>Adéquation au cahier des charges (AKS, observabilité, IA, palier visé)</t>
  </si>
  <si>
    <t>5. VALEUR ET IMPACT</t>
  </si>
  <si>
    <t>Capacité à convaincre que la solution répond à un besoin réel et récurrent</t>
  </si>
  <si>
    <t>6. ORIGINALITÉ ET AMBITION</t>
  </si>
  <si>
    <t>Originalité de la solution ou de l'angle choisi</t>
  </si>
  <si>
    <t>Crédibilité industrielle de la solution</t>
  </si>
  <si>
    <t>Capacité à aller au-delà de l'attendu (palier supérieur, intégrations avancées)</t>
  </si>
  <si>
    <t>TOTAL VIDÉO DE PITCH</t>
  </si>
  <si>
    <t>Commun</t>
  </si>
  <si>
    <t xml:space="preserve">à adapter par Spé </t>
  </si>
  <si>
    <t>PO</t>
  </si>
  <si>
    <t>POINTS BONUS (production écrite et technique)  : Critères d'évaluation</t>
  </si>
  <si>
    <t>Capacité à maintenir une vision produit claire et à aligner les choix techniques avec les objectifs annoncés.</t>
  </si>
  <si>
    <t>Capacité d’arbitrage</t>
  </si>
  <si>
    <t>Pertinence des priorisations et des décisions prises face aux contraintes de temps et de complexité.</t>
  </si>
  <si>
    <t>Capacité à démontrer que la solution peut évoluer vers une plateforme exploitable en contexte professionnel.</t>
  </si>
  <si>
    <t>TOTAL POINT LIVRABLE ECRIT ET TECHNIQUE</t>
  </si>
  <si>
    <t>Équipe</t>
  </si>
  <si>
    <t>Vidéo ( sur 160 pts) 
pondération 80%</t>
  </si>
  <si>
    <t>(Bonus) Technique (sur 40pts) 
pondération 20%</t>
  </si>
  <si>
    <t>Pondération : 80%</t>
  </si>
  <si>
    <t>Pondération : 20%</t>
  </si>
  <si>
    <t>TOTAL (200 pts)</t>
  </si>
  <si>
    <t>Classement</t>
  </si>
  <si>
    <t>Équipe 1</t>
  </si>
  <si>
    <t>Équipe 2</t>
  </si>
  <si>
    <t>indiquer les notes (colonnes B et C) = classement automatique</t>
  </si>
  <si>
    <t>Équipe 3</t>
  </si>
  <si>
    <t>Équipe 4</t>
  </si>
  <si>
    <t>Équipe 5</t>
  </si>
  <si>
    <t>Équipe 6</t>
  </si>
  <si>
    <t>Équipe 7</t>
  </si>
  <si>
    <t>Équipe 8</t>
  </si>
  <si>
    <t>Équipe 9</t>
  </si>
  <si>
    <t>Équipe 10</t>
  </si>
  <si>
    <t>Équipe 11</t>
  </si>
  <si>
    <t>Équipe 12</t>
  </si>
  <si>
    <t>Équipe 13</t>
  </si>
  <si>
    <t>Équipe 14</t>
  </si>
  <si>
    <t>Équipe 15</t>
  </si>
  <si>
    <t>Équipe 16</t>
  </si>
  <si>
    <t>Équipe 17</t>
  </si>
  <si>
    <t>Équipe 18</t>
  </si>
  <si>
    <t>Équipe 19</t>
  </si>
  <si>
    <t>Équipe 20</t>
  </si>
  <si>
    <t>Équipe 21</t>
  </si>
  <si>
    <t>Équipe 22</t>
  </si>
  <si>
    <t>Équipe 23</t>
  </si>
  <si>
    <t>Équipe 24</t>
  </si>
  <si>
    <t>Équipe 25</t>
  </si>
  <si>
    <t>Équipe 26</t>
  </si>
  <si>
    <t>Équipe 27</t>
  </si>
  <si>
    <t>Équipe 28</t>
  </si>
  <si>
    <t>Équipe 29</t>
  </si>
  <si>
    <t>Équipe 30</t>
  </si>
  <si>
    <t>Équipe 31</t>
  </si>
  <si>
    <t>Équipe 32</t>
  </si>
  <si>
    <t>Équipe 33</t>
  </si>
  <si>
    <t>Équipe 34</t>
  </si>
  <si>
    <t>Équipe 35</t>
  </si>
  <si>
    <t>Équipe 36</t>
  </si>
  <si>
    <t>Équipe 37</t>
  </si>
  <si>
    <t>Équipe 38</t>
  </si>
  <si>
    <t>Notes :</t>
  </si>
  <si>
    <t>Score min : 0</t>
  </si>
  <si>
    <t>Formule colonne E :</t>
  </si>
  <si>
    <t>Score max : 40</t>
  </si>
  <si>
    <t>MODE D'EMPLOI - GRILLES D'ÉVALUATION HACKATHON SDV PARIS 2026</t>
  </si>
  <si>
    <t>OBJECTIF</t>
  </si>
  <si>
    <t>Évaluer les équipes du hackathon sur deux dimensions :</t>
  </si>
  <si>
    <t xml:space="preserve">  • Capacité à présenter et convaincre (Vidéo de Pitch)</t>
  </si>
  <si>
    <t xml:space="preserve">  • Solidité technique et réalisations (Livrable Technique)</t>
  </si>
  <si>
    <t>UTILISATION PAR LE JURY</t>
  </si>
  <si>
    <t>1. AVANT LA SESSION</t>
  </si>
  <si>
    <t xml:space="preserve">   - Imprimer ou consulter les grilles 'Vidéo de Pitch' et 'Livrable Technique'</t>
  </si>
  <si>
    <t xml:space="preserve">   - Chaque juré reçoit sa copie avec les critères et pondérations</t>
  </si>
  <si>
    <t xml:space="preserve">   - Rappeler le barème : Vidéo (60 pts), Technique (80 pts)</t>
  </si>
  <si>
    <t>2. PENDANT L'ÉVALUATION</t>
  </si>
  <si>
    <t xml:space="preserve">   - Chaque juré note indépendamment chaque équipe</t>
  </si>
  <si>
    <t xml:space="preserve">   - Remplir la colonne 'Points obtenus' pour chaque critère</t>
  </si>
  <si>
    <t xml:space="preserve">   - Ajouter des commentaires dans la colonne 'Commentaires' (points forts, axes d'amélioration)</t>
  </si>
  <si>
    <t xml:space="preserve">   - Faire le total en bas de chaque fiche</t>
  </si>
  <si>
    <t>3. APRÈS L'ÉVALUATION</t>
  </si>
  <si>
    <t xml:space="preserve">   - Reporter les notes de chaque juré dans la feuille 'Synthèse Jury'</t>
  </si>
  <si>
    <t xml:space="preserve">   - Les formules calculent automatiquement :</t>
  </si>
  <si>
    <t xml:space="preserve">     • Pondération : (Vidéo × 80%) + (Technique × 20%)</t>
  </si>
  <si>
    <t xml:space="preserve">     • Total : somme pondérée</t>
  </si>
  <si>
    <t xml:space="preserve">   - Trier par note décroissante pour identifier les top équipes</t>
  </si>
  <si>
    <t>PONDÉRATION RECOMMANDÉE</t>
  </si>
  <si>
    <t xml:space="preserve">   Vidéo de Pitch : 80%  →  récompense la clarté, la storytelling, l'impact</t>
  </si>
  <si>
    <t xml:space="preserve">   Livrable Technique : 20%  →  récompense la solidité et l'ambition technique</t>
  </si>
  <si>
    <t>NOTES DE JURY</t>
  </si>
  <si>
    <t xml:space="preserve">   - Notation  : adapter la pondération en fonction</t>
  </si>
  <si>
    <t xml:space="preserve">   - Moyenne des jurés : faire la moyenne des notes attribuées par chaque juré</t>
  </si>
  <si>
    <t xml:space="preserve">   - Tirage au sort en cas d'égalité : prévoir un critère de dessiccation (ex. bonus innovation)</t>
  </si>
  <si>
    <t>CONTACT / QUESTIONS</t>
  </si>
  <si>
    <t xml:space="preserve">   Envoyer les retours et demandes d'adaptation à l'organisateur principal.</t>
  </si>
  <si>
    <t>Score max : 160</t>
  </si>
  <si>
    <t>Formulaire Angular (site, parking, énergie, employés, matériaux)</t>
  </si>
  <si>
    <t>API Java fonctionnelle et calculs corrects</t>
  </si>
  <si>
    <t>Dashboard (graphiques + KPIs) et authentification (JWT)</t>
  </si>
  <si>
    <t>Facteurs d'émission corrects</t>
  </si>
  <si>
    <t>Formules et pondération construction/exploitation</t>
  </si>
  <si>
    <t>KPIs fiables (CO²/m², CO²/employé, total)</t>
  </si>
  <si>
    <t>Code propre, structuré et commenté</t>
  </si>
  <si>
    <t>Validation, gestion des erreurs, stabilité</t>
  </si>
  <si>
    <t>Formulaire ergonomique</t>
  </si>
  <si>
    <t>Dashboard clair (graphiques lisibles)</t>
  </si>
  <si>
    <t>5. GESTION DE PROJETS</t>
  </si>
  <si>
    <t>Mise en avant de l'impact environnemental (pédagogie)</t>
  </si>
  <si>
    <t>Mise en avant des choix techniques</t>
  </si>
  <si>
    <t>Fluidité de la démonstration (pas de blocages) et clarté de l'explication fonctionnelle</t>
  </si>
  <si>
    <t>Comparaison multi-sites</t>
  </si>
  <si>
    <t>Export PDF</t>
  </si>
  <si>
    <t>Architecture Angular ou React + Spring Boot bien organisé</t>
  </si>
  <si>
    <t>3. QUALITE TECHNIQUE : Architecture, propreté du code, robustesse</t>
  </si>
  <si>
    <t>2. QUALITE DU CALCUL CARBONE : Pertinence scientifique, cohérence des chiffres</t>
  </si>
  <si>
    <t>4. UX/UI : Lisibilité, fluidité, esthétique</t>
  </si>
  <si>
    <t>5. BONUS : Innovation &amp; Extra features</t>
  </si>
  <si>
    <t>1. RESPECT DU CAHIER DES CHARGES : Fonctionnalités obligatoires (Formulaire complet + API + calculs + Dashboard + authentification)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</si>
</sst>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4" borderId="0" xfId="0" applyFill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2" fillId="0" borderId="11" xfId="0" applyFont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0" fillId="0" borderId="14" xfId="0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right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7" xfId="0" applyBorder="1" applyAlignment="1">
      <alignment wrapText="1"/>
    </xf>
    <xf numFmtId="0" fontId="0" fillId="5" borderId="0" xfId="0" applyFill="1" applyAlignment="1">
      <alignment wrapText="1"/>
    </xf>
    <xf numFmtId="0" fontId="0" fillId="6" borderId="19" xfId="0" applyFill="1" applyBorder="1" applyAlignment="1">
      <alignment wrapText="1"/>
    </xf>
    <xf numFmtId="0" fontId="2" fillId="6" borderId="24" xfId="0" applyFont="1" applyFill="1" applyBorder="1" applyAlignment="1">
      <alignment wrapText="1"/>
    </xf>
    <xf numFmtId="0" fontId="0" fillId="6" borderId="26" xfId="0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3" fillId="0" borderId="8" xfId="0" applyFont="1" applyBorder="1"/>
    <xf numFmtId="0" fontId="3" fillId="7" borderId="8" xfId="0" applyFont="1" applyFill="1" applyBorder="1"/>
    <xf numFmtId="0" fontId="3" fillId="0" borderId="10" xfId="0" applyFont="1" applyBorder="1"/>
    <xf numFmtId="0" fontId="0" fillId="6" borderId="20" xfId="0" applyFill="1" applyBorder="1" applyAlignment="1">
      <alignment wrapText="1"/>
    </xf>
    <xf numFmtId="0" fontId="2" fillId="6" borderId="28" xfId="0" applyFont="1" applyFill="1" applyBorder="1" applyAlignment="1">
      <alignment wrapText="1"/>
    </xf>
    <xf numFmtId="0" fontId="0" fillId="0" borderId="29" xfId="0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right" wrapText="1"/>
    </xf>
    <xf numFmtId="0" fontId="0" fillId="6" borderId="13" xfId="0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6" borderId="30" xfId="0" applyFill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6" borderId="34" xfId="0" applyFill="1" applyBorder="1" applyAlignment="1">
      <alignment wrapText="1"/>
    </xf>
    <xf numFmtId="0" fontId="0" fillId="0" borderId="31" xfId="0" applyBorder="1" applyAlignment="1">
      <alignment wrapText="1"/>
    </xf>
    <xf numFmtId="0" fontId="2" fillId="6" borderId="35" xfId="0" applyFont="1" applyFill="1" applyBorder="1" applyAlignment="1">
      <alignment wrapText="1"/>
    </xf>
    <xf numFmtId="0" fontId="2" fillId="6" borderId="36" xfId="0" applyFont="1" applyFill="1" applyBorder="1" applyAlignment="1">
      <alignment wrapText="1"/>
    </xf>
    <xf numFmtId="0" fontId="2" fillId="0" borderId="37" xfId="0" applyFont="1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tabSelected="1" workbookViewId="0">
      <selection activeCell="D14" sqref="D14"/>
    </sheetView>
  </sheetViews>
  <sheetFormatPr baseColWidth="10" defaultColWidth="8.6640625" defaultRowHeight="14.4" x14ac:dyDescent="0.3"/>
  <cols>
    <col min="1" max="1" width="8.6640625" style="1"/>
    <col min="2" max="2" width="3.109375" style="1" customWidth="1"/>
    <col min="3" max="3" width="73.88671875" style="1" bestFit="1" customWidth="1"/>
    <col min="4" max="4" width="10.6640625" style="9" bestFit="1" customWidth="1"/>
    <col min="5" max="5" width="8.44140625" style="1" bestFit="1" customWidth="1"/>
    <col min="6" max="6" width="14.33203125" style="1" bestFit="1" customWidth="1"/>
    <col min="7" max="8" width="8.6640625" style="1"/>
    <col min="9" max="9" width="20.109375" style="1" customWidth="1"/>
    <col min="10" max="16384" width="8.6640625" style="1"/>
  </cols>
  <sheetData>
    <row r="1" spans="2:6" ht="36.6" customHeight="1" x14ac:dyDescent="0.3">
      <c r="C1" s="48" t="s">
        <v>0</v>
      </c>
      <c r="D1" s="49" t="s">
        <v>1</v>
      </c>
      <c r="E1" s="49" t="s">
        <v>2</v>
      </c>
      <c r="F1" s="50" t="s">
        <v>3</v>
      </c>
    </row>
    <row r="2" spans="2:6" x14ac:dyDescent="0.3">
      <c r="C2" s="11" t="s">
        <v>4</v>
      </c>
      <c r="D2" s="12"/>
      <c r="E2" s="13"/>
      <c r="F2" s="14"/>
    </row>
    <row r="3" spans="2:6" x14ac:dyDescent="0.3">
      <c r="B3" s="2"/>
      <c r="C3" s="35" t="s">
        <v>5</v>
      </c>
      <c r="D3" s="10">
        <v>15</v>
      </c>
      <c r="E3" s="4"/>
      <c r="F3" s="15"/>
    </row>
    <row r="4" spans="2:6" x14ac:dyDescent="0.3">
      <c r="B4" s="2"/>
      <c r="C4" s="45" t="s">
        <v>6</v>
      </c>
      <c r="D4" s="20">
        <v>15</v>
      </c>
      <c r="E4" s="19"/>
      <c r="F4" s="21"/>
    </row>
    <row r="5" spans="2:6" x14ac:dyDescent="0.3">
      <c r="C5" s="46" t="s">
        <v>7</v>
      </c>
      <c r="D5" s="12"/>
      <c r="E5" s="13"/>
      <c r="F5" s="14"/>
    </row>
    <row r="6" spans="2:6" x14ac:dyDescent="0.3">
      <c r="B6" s="2"/>
      <c r="C6" s="35" t="s">
        <v>8</v>
      </c>
      <c r="D6" s="10">
        <v>15</v>
      </c>
      <c r="E6" s="4"/>
      <c r="F6" s="15"/>
    </row>
    <row r="7" spans="2:6" x14ac:dyDescent="0.3">
      <c r="B7" s="2"/>
      <c r="C7" s="47" t="s">
        <v>9</v>
      </c>
      <c r="D7" s="16">
        <v>15</v>
      </c>
      <c r="E7" s="17"/>
      <c r="F7" s="18"/>
    </row>
    <row r="8" spans="2:6" x14ac:dyDescent="0.3">
      <c r="C8" s="46" t="s">
        <v>10</v>
      </c>
      <c r="D8" s="12"/>
      <c r="E8" s="13"/>
      <c r="F8" s="14"/>
    </row>
    <row r="9" spans="2:6" x14ac:dyDescent="0.3">
      <c r="B9" s="2"/>
      <c r="C9" s="35" t="s">
        <v>11</v>
      </c>
      <c r="D9" s="10">
        <v>15</v>
      </c>
      <c r="E9" s="4"/>
      <c r="F9" s="15"/>
    </row>
    <row r="10" spans="2:6" x14ac:dyDescent="0.3">
      <c r="B10" s="2"/>
      <c r="C10" s="47" t="s">
        <v>12</v>
      </c>
      <c r="D10" s="16">
        <v>15</v>
      </c>
      <c r="E10" s="17"/>
      <c r="F10" s="18"/>
    </row>
    <row r="11" spans="2:6" x14ac:dyDescent="0.3">
      <c r="C11" s="46" t="s">
        <v>13</v>
      </c>
      <c r="D11" s="12"/>
      <c r="E11" s="13"/>
      <c r="F11" s="14"/>
    </row>
    <row r="12" spans="2:6" x14ac:dyDescent="0.3">
      <c r="B12" s="3"/>
      <c r="C12" s="35" t="s">
        <v>125</v>
      </c>
      <c r="D12" s="10">
        <v>10</v>
      </c>
      <c r="E12" s="4"/>
      <c r="F12" s="15"/>
    </row>
    <row r="13" spans="2:6" x14ac:dyDescent="0.3">
      <c r="B13" s="3"/>
      <c r="C13" s="35" t="s">
        <v>126</v>
      </c>
      <c r="D13" s="10">
        <v>5</v>
      </c>
      <c r="E13" s="4"/>
      <c r="F13" s="15"/>
    </row>
    <row r="14" spans="2:6" x14ac:dyDescent="0.3">
      <c r="B14" s="2"/>
      <c r="C14" s="35" t="s">
        <v>14</v>
      </c>
      <c r="D14" s="10">
        <v>5</v>
      </c>
      <c r="E14" s="4"/>
      <c r="F14" s="15"/>
    </row>
    <row r="15" spans="2:6" x14ac:dyDescent="0.3">
      <c r="B15" s="2"/>
      <c r="C15" s="47" t="s">
        <v>15</v>
      </c>
      <c r="D15" s="16">
        <v>10</v>
      </c>
      <c r="E15" s="17"/>
      <c r="F15" s="18"/>
    </row>
    <row r="16" spans="2:6" x14ac:dyDescent="0.3">
      <c r="C16" s="46" t="s">
        <v>16</v>
      </c>
      <c r="D16" s="12"/>
      <c r="E16" s="13"/>
      <c r="F16" s="14"/>
    </row>
    <row r="17" spans="2:6" x14ac:dyDescent="0.3">
      <c r="B17" s="3"/>
      <c r="C17" s="35" t="s">
        <v>124</v>
      </c>
      <c r="D17" s="10">
        <v>15</v>
      </c>
      <c r="E17" s="4"/>
      <c r="F17" s="15"/>
    </row>
    <row r="18" spans="2:6" x14ac:dyDescent="0.3">
      <c r="B18" s="2"/>
      <c r="C18" s="47" t="s">
        <v>17</v>
      </c>
      <c r="D18" s="16">
        <v>15</v>
      </c>
      <c r="E18" s="17"/>
      <c r="F18" s="18"/>
    </row>
    <row r="19" spans="2:6" x14ac:dyDescent="0.3">
      <c r="C19" s="46" t="s">
        <v>18</v>
      </c>
      <c r="D19" s="12"/>
      <c r="E19" s="13"/>
      <c r="F19" s="14"/>
    </row>
    <row r="20" spans="2:6" x14ac:dyDescent="0.3">
      <c r="B20" s="5"/>
      <c r="C20" s="35" t="s">
        <v>19</v>
      </c>
      <c r="D20" s="10">
        <v>5</v>
      </c>
      <c r="E20" s="4"/>
      <c r="F20" s="15"/>
    </row>
    <row r="21" spans="2:6" x14ac:dyDescent="0.3">
      <c r="B21" s="5"/>
      <c r="C21" s="35" t="s">
        <v>20</v>
      </c>
      <c r="D21" s="10">
        <v>3</v>
      </c>
      <c r="E21" s="4"/>
      <c r="F21" s="15"/>
    </row>
    <row r="22" spans="2:6" x14ac:dyDescent="0.3">
      <c r="B22" s="5"/>
      <c r="C22" s="47" t="s">
        <v>21</v>
      </c>
      <c r="D22" s="16">
        <v>2</v>
      </c>
      <c r="E22" s="17"/>
      <c r="F22" s="18"/>
    </row>
    <row r="24" spans="2:6" x14ac:dyDescent="0.3">
      <c r="C24" s="24" t="s">
        <v>22</v>
      </c>
      <c r="D24" s="23">
        <f>SUM(D3:D22)</f>
        <v>160</v>
      </c>
    </row>
    <row r="26" spans="2:6" x14ac:dyDescent="0.3">
      <c r="D26" s="1"/>
    </row>
    <row r="27" spans="2:6" x14ac:dyDescent="0.3">
      <c r="B27" s="2"/>
      <c r="C27" s="63" t="s">
        <v>23</v>
      </c>
      <c r="D27" s="63"/>
    </row>
    <row r="28" spans="2:6" x14ac:dyDescent="0.3">
      <c r="B28" s="3"/>
      <c r="C28" s="63" t="s">
        <v>24</v>
      </c>
      <c r="D28" s="63"/>
    </row>
    <row r="29" spans="2:6" x14ac:dyDescent="0.3">
      <c r="B29" s="5"/>
      <c r="C29" s="63" t="s">
        <v>25</v>
      </c>
      <c r="D29" s="63"/>
    </row>
    <row r="30" spans="2:6" x14ac:dyDescent="0.3">
      <c r="D30" s="1"/>
    </row>
    <row r="31" spans="2:6" x14ac:dyDescent="0.3">
      <c r="D31" s="1"/>
    </row>
    <row r="32" spans="2:6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73"/>
  <sheetViews>
    <sheetView workbookViewId="0">
      <selection activeCell="L9" sqref="L9"/>
    </sheetView>
  </sheetViews>
  <sheetFormatPr baseColWidth="10" defaultColWidth="8.6640625" defaultRowHeight="15" customHeight="1" x14ac:dyDescent="0.3"/>
  <cols>
    <col min="1" max="1" width="8.6640625" style="1"/>
    <col min="2" max="2" width="3" style="1" customWidth="1"/>
    <col min="3" max="3" width="99.44140625" style="3" bestFit="1" customWidth="1"/>
    <col min="4" max="4" width="10.109375" style="1" bestFit="1" customWidth="1"/>
    <col min="5" max="5" width="8.44140625" style="1" bestFit="1" customWidth="1"/>
    <col min="6" max="6" width="14.33203125" style="1" bestFit="1" customWidth="1"/>
    <col min="7" max="16384" width="8.6640625" style="1"/>
  </cols>
  <sheetData>
    <row r="1" spans="2:6" ht="46.8" x14ac:dyDescent="0.3">
      <c r="C1" s="48" t="s">
        <v>26</v>
      </c>
      <c r="D1" s="49" t="s">
        <v>1</v>
      </c>
      <c r="E1" s="49" t="s">
        <v>2</v>
      </c>
      <c r="F1" s="50" t="s">
        <v>3</v>
      </c>
    </row>
    <row r="2" spans="2:6" ht="28.8" x14ac:dyDescent="0.3">
      <c r="C2" s="11" t="s">
        <v>134</v>
      </c>
      <c r="D2" s="26"/>
      <c r="E2" s="13"/>
      <c r="F2" s="14"/>
    </row>
    <row r="3" spans="2:6" ht="14.4" x14ac:dyDescent="0.3">
      <c r="B3" s="31"/>
      <c r="C3" s="32" t="s">
        <v>113</v>
      </c>
      <c r="D3" s="66">
        <v>10</v>
      </c>
      <c r="E3" s="25"/>
      <c r="F3" s="15"/>
    </row>
    <row r="4" spans="2:6" ht="14.4" x14ac:dyDescent="0.3">
      <c r="B4" s="31"/>
      <c r="C4" s="32" t="s">
        <v>114</v>
      </c>
      <c r="D4" s="66"/>
      <c r="E4" s="25"/>
      <c r="F4" s="15"/>
    </row>
    <row r="5" spans="2:6" ht="14.4" x14ac:dyDescent="0.3">
      <c r="B5" s="31"/>
      <c r="C5" s="34" t="s">
        <v>115</v>
      </c>
      <c r="D5" s="64"/>
      <c r="E5" s="30"/>
      <c r="F5" s="21"/>
    </row>
    <row r="6" spans="2:6" ht="14.4" x14ac:dyDescent="0.3">
      <c r="C6" s="33" t="s">
        <v>131</v>
      </c>
      <c r="D6" s="22"/>
      <c r="E6" s="29"/>
      <c r="F6" s="14"/>
    </row>
    <row r="7" spans="2:6" ht="14.4" x14ac:dyDescent="0.3">
      <c r="B7" s="31"/>
      <c r="C7" s="32" t="s">
        <v>116</v>
      </c>
      <c r="D7" s="66">
        <v>7</v>
      </c>
      <c r="E7" s="25"/>
      <c r="F7" s="15"/>
    </row>
    <row r="8" spans="2:6" ht="14.4" x14ac:dyDescent="0.3">
      <c r="B8" s="31"/>
      <c r="C8" s="32" t="s">
        <v>117</v>
      </c>
      <c r="D8" s="66"/>
      <c r="E8" s="25"/>
      <c r="F8" s="15"/>
    </row>
    <row r="9" spans="2:6" ht="14.4" x14ac:dyDescent="0.3">
      <c r="B9" s="31"/>
      <c r="C9" s="39" t="s">
        <v>118</v>
      </c>
      <c r="D9" s="67"/>
      <c r="E9" s="27"/>
      <c r="F9" s="18"/>
    </row>
    <row r="10" spans="2:6" ht="14.4" x14ac:dyDescent="0.3">
      <c r="C10" s="40" t="s">
        <v>130</v>
      </c>
      <c r="D10" s="42"/>
      <c r="E10" s="28"/>
      <c r="F10" s="41"/>
    </row>
    <row r="11" spans="2:6" ht="14.4" x14ac:dyDescent="0.3">
      <c r="B11" s="31"/>
      <c r="C11" s="32" t="s">
        <v>119</v>
      </c>
      <c r="D11" s="66">
        <v>8</v>
      </c>
      <c r="E11" s="25"/>
      <c r="F11" s="15"/>
    </row>
    <row r="12" spans="2:6" ht="14.4" x14ac:dyDescent="0.3">
      <c r="B12" s="31"/>
      <c r="C12" s="32" t="s">
        <v>129</v>
      </c>
      <c r="D12" s="66"/>
      <c r="E12" s="25"/>
      <c r="F12" s="15"/>
    </row>
    <row r="13" spans="2:6" ht="14.4" x14ac:dyDescent="0.3">
      <c r="B13" s="31"/>
      <c r="C13" s="39" t="s">
        <v>120</v>
      </c>
      <c r="D13" s="67"/>
      <c r="E13" s="27"/>
      <c r="F13" s="18"/>
    </row>
    <row r="14" spans="2:6" ht="14.4" x14ac:dyDescent="0.3">
      <c r="C14" s="40" t="s">
        <v>132</v>
      </c>
      <c r="D14" s="42"/>
      <c r="E14" s="28"/>
      <c r="F14" s="41"/>
    </row>
    <row r="15" spans="2:6" ht="14.4" x14ac:dyDescent="0.3">
      <c r="B15" s="31"/>
      <c r="C15" s="32" t="s">
        <v>121</v>
      </c>
      <c r="D15" s="66">
        <v>3</v>
      </c>
      <c r="E15" s="25"/>
      <c r="F15" s="15"/>
    </row>
    <row r="16" spans="2:6" ht="14.4" x14ac:dyDescent="0.3">
      <c r="B16" s="31"/>
      <c r="C16" s="53" t="s">
        <v>122</v>
      </c>
      <c r="D16" s="68"/>
      <c r="E16" s="54"/>
      <c r="F16" s="55"/>
    </row>
    <row r="17" spans="2:6" ht="14.4" x14ac:dyDescent="0.3">
      <c r="C17" s="58" t="s">
        <v>133</v>
      </c>
      <c r="D17" s="42"/>
      <c r="E17" s="28"/>
      <c r="F17" s="41"/>
    </row>
    <row r="18" spans="2:6" ht="14.4" x14ac:dyDescent="0.3">
      <c r="B18" s="31"/>
      <c r="C18" s="32" t="s">
        <v>127</v>
      </c>
      <c r="D18" s="66">
        <v>2</v>
      </c>
      <c r="E18" s="25"/>
      <c r="F18" s="15"/>
    </row>
    <row r="19" spans="2:6" ht="14.4" x14ac:dyDescent="0.3">
      <c r="B19" s="31"/>
      <c r="C19" s="56" t="s">
        <v>128</v>
      </c>
      <c r="D19" s="68"/>
      <c r="E19" s="57"/>
      <c r="F19" s="55"/>
    </row>
    <row r="20" spans="2:6" ht="14.4" x14ac:dyDescent="0.3">
      <c r="C20" s="59" t="s">
        <v>123</v>
      </c>
      <c r="D20" s="60"/>
      <c r="E20" s="61"/>
      <c r="F20" s="62"/>
    </row>
    <row r="21" spans="2:6" ht="14.4" x14ac:dyDescent="0.3">
      <c r="B21" s="5"/>
      <c r="C21" s="35" t="s">
        <v>27</v>
      </c>
      <c r="D21" s="64">
        <v>10</v>
      </c>
      <c r="E21" s="4"/>
      <c r="F21" s="15"/>
    </row>
    <row r="22" spans="2:6" ht="14.4" x14ac:dyDescent="0.3">
      <c r="B22" s="5"/>
      <c r="C22" s="36" t="s">
        <v>28</v>
      </c>
      <c r="D22" s="65"/>
      <c r="E22" s="4"/>
      <c r="F22" s="15"/>
    </row>
    <row r="23" spans="2:6" ht="14.4" x14ac:dyDescent="0.3">
      <c r="B23" s="5"/>
      <c r="C23" s="37" t="s">
        <v>29</v>
      </c>
      <c r="D23" s="65"/>
      <c r="E23" s="4"/>
      <c r="F23" s="15"/>
    </row>
    <row r="24" spans="2:6" ht="14.4" x14ac:dyDescent="0.3">
      <c r="B24" s="5"/>
      <c r="C24" s="38" t="s">
        <v>30</v>
      </c>
      <c r="D24" s="65"/>
      <c r="E24" s="17"/>
      <c r="F24" s="18"/>
    </row>
    <row r="25" spans="2:6" ht="14.4" x14ac:dyDescent="0.3">
      <c r="C25" s="44" t="s">
        <v>31</v>
      </c>
      <c r="D25" s="43">
        <f>SUM(D3:D21)</f>
        <v>40</v>
      </c>
      <c r="E25" s="28"/>
    </row>
    <row r="26" spans="2:6" ht="14.4" x14ac:dyDescent="0.3">
      <c r="C26" s="1"/>
    </row>
    <row r="27" spans="2:6" ht="14.4" x14ac:dyDescent="0.3">
      <c r="C27" s="1"/>
    </row>
    <row r="28" spans="2:6" ht="14.4" x14ac:dyDescent="0.3">
      <c r="C28" s="1"/>
    </row>
    <row r="29" spans="2:6" ht="14.4" x14ac:dyDescent="0.3">
      <c r="C29" s="1"/>
    </row>
    <row r="30" spans="2:6" ht="14.4" x14ac:dyDescent="0.3">
      <c r="C30" s="1"/>
    </row>
    <row r="31" spans="2:6" ht="14.4" x14ac:dyDescent="0.3">
      <c r="C31" s="1"/>
    </row>
    <row r="32" spans="2:6" ht="14.4" x14ac:dyDescent="0.3">
      <c r="C32" s="1"/>
    </row>
    <row r="33" spans="3:3" ht="14.4" x14ac:dyDescent="0.3">
      <c r="C33" s="1"/>
    </row>
    <row r="34" spans="3:3" ht="14.4" x14ac:dyDescent="0.3">
      <c r="C34" s="1"/>
    </row>
    <row r="35" spans="3:3" ht="14.4" x14ac:dyDescent="0.3">
      <c r="C35" s="1"/>
    </row>
    <row r="36" spans="3:3" ht="14.4" x14ac:dyDescent="0.3">
      <c r="C36" s="1"/>
    </row>
    <row r="37" spans="3:3" ht="14.4" x14ac:dyDescent="0.3">
      <c r="C37" s="1"/>
    </row>
    <row r="38" spans="3:3" ht="14.4" x14ac:dyDescent="0.3">
      <c r="C38" s="1"/>
    </row>
    <row r="39" spans="3:3" ht="14.4" x14ac:dyDescent="0.3">
      <c r="C39" s="1"/>
    </row>
    <row r="40" spans="3:3" ht="14.4" x14ac:dyDescent="0.3">
      <c r="C40" s="1"/>
    </row>
    <row r="41" spans="3:3" ht="14.4" x14ac:dyDescent="0.3">
      <c r="C41" s="1"/>
    </row>
    <row r="42" spans="3:3" ht="14.4" x14ac:dyDescent="0.3">
      <c r="C42" s="1"/>
    </row>
    <row r="43" spans="3:3" ht="14.4" x14ac:dyDescent="0.3">
      <c r="C43" s="1"/>
    </row>
    <row r="44" spans="3:3" ht="14.4" x14ac:dyDescent="0.3">
      <c r="C44" s="1"/>
    </row>
    <row r="45" spans="3:3" ht="14.4" x14ac:dyDescent="0.3">
      <c r="C45" s="1"/>
    </row>
    <row r="46" spans="3:3" ht="14.4" x14ac:dyDescent="0.3">
      <c r="C46" s="1"/>
    </row>
    <row r="47" spans="3:3" ht="14.4" x14ac:dyDescent="0.3">
      <c r="C47" s="1"/>
    </row>
    <row r="48" spans="3:3" ht="14.4" x14ac:dyDescent="0.3">
      <c r="C48" s="1"/>
    </row>
    <row r="49" spans="3:3" ht="14.4" x14ac:dyDescent="0.3">
      <c r="C49" s="1"/>
    </row>
    <row r="50" spans="3:3" ht="14.4" x14ac:dyDescent="0.3">
      <c r="C50" s="1"/>
    </row>
    <row r="51" spans="3:3" ht="14.4" x14ac:dyDescent="0.3">
      <c r="C51" s="1"/>
    </row>
    <row r="52" spans="3:3" ht="14.4" x14ac:dyDescent="0.3">
      <c r="C52" s="1"/>
    </row>
    <row r="53" spans="3:3" ht="14.4" x14ac:dyDescent="0.3">
      <c r="C53" s="1"/>
    </row>
    <row r="54" spans="3:3" ht="14.4" x14ac:dyDescent="0.3">
      <c r="C54" s="1"/>
    </row>
    <row r="55" spans="3:3" ht="14.4" x14ac:dyDescent="0.3">
      <c r="C55" s="1"/>
    </row>
    <row r="56" spans="3:3" ht="14.4" x14ac:dyDescent="0.3">
      <c r="C56" s="1"/>
    </row>
    <row r="57" spans="3:3" ht="14.4" x14ac:dyDescent="0.3">
      <c r="C57" s="1"/>
    </row>
    <row r="58" spans="3:3" ht="14.4" x14ac:dyDescent="0.3">
      <c r="C58" s="1"/>
    </row>
    <row r="59" spans="3:3" ht="14.4" x14ac:dyDescent="0.3">
      <c r="C59" s="1"/>
    </row>
    <row r="60" spans="3:3" ht="14.4" x14ac:dyDescent="0.3">
      <c r="C60" s="1"/>
    </row>
    <row r="61" spans="3:3" ht="14.4" x14ac:dyDescent="0.3">
      <c r="C61" s="1"/>
    </row>
    <row r="62" spans="3:3" ht="14.4" x14ac:dyDescent="0.3">
      <c r="C62" s="1"/>
    </row>
    <row r="63" spans="3:3" ht="14.4" x14ac:dyDescent="0.3">
      <c r="C63" s="1"/>
    </row>
    <row r="64" spans="3:3" ht="14.4" x14ac:dyDescent="0.3">
      <c r="C64" s="1"/>
    </row>
    <row r="65" spans="3:3" ht="14.4" x14ac:dyDescent="0.3">
      <c r="C65" s="1"/>
    </row>
    <row r="66" spans="3:3" ht="14.4" x14ac:dyDescent="0.3">
      <c r="C66" s="1"/>
    </row>
    <row r="67" spans="3:3" ht="14.4" x14ac:dyDescent="0.3">
      <c r="C67" s="1"/>
    </row>
    <row r="68" spans="3:3" ht="14.4" x14ac:dyDescent="0.3">
      <c r="C68" s="1"/>
    </row>
    <row r="69" spans="3:3" ht="14.4" x14ac:dyDescent="0.3">
      <c r="C69" s="1"/>
    </row>
    <row r="70" spans="3:3" ht="14.4" x14ac:dyDescent="0.3">
      <c r="C70" s="1"/>
    </row>
    <row r="71" spans="3:3" ht="14.4" x14ac:dyDescent="0.3">
      <c r="C71" s="1"/>
    </row>
    <row r="72" spans="3:3" ht="14.4" x14ac:dyDescent="0.3">
      <c r="C72" s="1"/>
    </row>
    <row r="73" spans="3:3" ht="14.4" x14ac:dyDescent="0.3"/>
  </sheetData>
  <mergeCells count="6">
    <mergeCell ref="D21:D24"/>
    <mergeCell ref="D3:D5"/>
    <mergeCell ref="D7:D9"/>
    <mergeCell ref="D11:D13"/>
    <mergeCell ref="D15:D16"/>
    <mergeCell ref="D18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>
      <selection activeCell="K36" sqref="K36"/>
    </sheetView>
  </sheetViews>
  <sheetFormatPr baseColWidth="10" defaultColWidth="8.6640625" defaultRowHeight="14.4" x14ac:dyDescent="0.3"/>
  <cols>
    <col min="1" max="1" width="10.6640625" customWidth="1"/>
    <col min="2" max="2" width="22.6640625" style="8" bestFit="1" customWidth="1"/>
    <col min="3" max="3" width="28.6640625" style="8" bestFit="1" customWidth="1"/>
    <col min="4" max="4" width="21.6640625" style="8" hidden="1" customWidth="1"/>
    <col min="5" max="5" width="19.6640625" style="8" hidden="1" customWidth="1"/>
    <col min="6" max="6" width="20.6640625" style="8" hidden="1" customWidth="1"/>
    <col min="7" max="7" width="16" style="8" customWidth="1"/>
  </cols>
  <sheetData>
    <row r="1" spans="1:9" ht="28.8" x14ac:dyDescent="0.3">
      <c r="A1" s="51" t="s">
        <v>32</v>
      </c>
      <c r="B1" s="10" t="s">
        <v>33</v>
      </c>
      <c r="C1" s="10" t="s">
        <v>34</v>
      </c>
      <c r="D1" s="52" t="s">
        <v>35</v>
      </c>
      <c r="E1" s="52" t="s">
        <v>36</v>
      </c>
      <c r="F1" s="52" t="s">
        <v>37</v>
      </c>
      <c r="G1" s="52" t="s">
        <v>38</v>
      </c>
    </row>
    <row r="2" spans="1:9" x14ac:dyDescent="0.3">
      <c r="A2" s="6" t="s">
        <v>39</v>
      </c>
      <c r="B2" s="7"/>
      <c r="C2" s="7"/>
      <c r="D2" s="7">
        <f>PRODUCT(B2,0.8)</f>
        <v>0.8</v>
      </c>
      <c r="E2" s="7">
        <f>PRODUCT(C2,0.2)</f>
        <v>0.2</v>
      </c>
      <c r="F2" s="7">
        <f>SUM(D2:E2)</f>
        <v>1</v>
      </c>
      <c r="G2" s="7">
        <f>RANK(F2,F:F)</f>
        <v>1</v>
      </c>
    </row>
    <row r="3" spans="1:9" x14ac:dyDescent="0.3">
      <c r="A3" s="6" t="s">
        <v>40</v>
      </c>
      <c r="B3" s="7"/>
      <c r="C3" s="7"/>
      <c r="D3" s="7">
        <f t="shared" ref="D3:D39" si="0">PRODUCT(B3,0.8)</f>
        <v>0.8</v>
      </c>
      <c r="E3" s="7">
        <f t="shared" ref="E3:E39" si="1">PRODUCT(C3,0.2)</f>
        <v>0.2</v>
      </c>
      <c r="F3" s="7">
        <f t="shared" ref="F3:F39" si="2">SUM(D3:E3)</f>
        <v>1</v>
      </c>
      <c r="G3" s="7">
        <f t="shared" ref="G3:G39" si="3">RANK(F3,F:F)</f>
        <v>1</v>
      </c>
      <c r="I3" t="s">
        <v>41</v>
      </c>
    </row>
    <row r="4" spans="1:9" x14ac:dyDescent="0.3">
      <c r="A4" s="6" t="s">
        <v>42</v>
      </c>
      <c r="B4" s="7"/>
      <c r="C4" s="7"/>
      <c r="D4" s="7">
        <f t="shared" si="0"/>
        <v>0.8</v>
      </c>
      <c r="E4" s="7">
        <f t="shared" si="1"/>
        <v>0.2</v>
      </c>
      <c r="F4" s="7">
        <f t="shared" si="2"/>
        <v>1</v>
      </c>
      <c r="G4" s="7">
        <f t="shared" si="3"/>
        <v>1</v>
      </c>
    </row>
    <row r="5" spans="1:9" x14ac:dyDescent="0.3">
      <c r="A5" s="6" t="s">
        <v>43</v>
      </c>
      <c r="B5" s="7"/>
      <c r="C5" s="7"/>
      <c r="D5" s="7">
        <f t="shared" si="0"/>
        <v>0.8</v>
      </c>
      <c r="E5" s="7">
        <f t="shared" si="1"/>
        <v>0.2</v>
      </c>
      <c r="F5" s="7">
        <f t="shared" si="2"/>
        <v>1</v>
      </c>
      <c r="G5" s="7">
        <f t="shared" si="3"/>
        <v>1</v>
      </c>
    </row>
    <row r="6" spans="1:9" x14ac:dyDescent="0.3">
      <c r="A6" s="6" t="s">
        <v>44</v>
      </c>
      <c r="B6" s="7"/>
      <c r="C6" s="7"/>
      <c r="D6" s="7">
        <f t="shared" si="0"/>
        <v>0.8</v>
      </c>
      <c r="E6" s="7">
        <f t="shared" si="1"/>
        <v>0.2</v>
      </c>
      <c r="F6" s="7">
        <f t="shared" si="2"/>
        <v>1</v>
      </c>
      <c r="G6" s="7">
        <f t="shared" si="3"/>
        <v>1</v>
      </c>
    </row>
    <row r="7" spans="1:9" x14ac:dyDescent="0.3">
      <c r="A7" s="6" t="s">
        <v>45</v>
      </c>
      <c r="B7" s="7"/>
      <c r="C7" s="7"/>
      <c r="D7" s="7">
        <f t="shared" si="0"/>
        <v>0.8</v>
      </c>
      <c r="E7" s="7">
        <f t="shared" si="1"/>
        <v>0.2</v>
      </c>
      <c r="F7" s="7">
        <f t="shared" si="2"/>
        <v>1</v>
      </c>
      <c r="G7" s="7">
        <f t="shared" si="3"/>
        <v>1</v>
      </c>
    </row>
    <row r="8" spans="1:9" x14ac:dyDescent="0.3">
      <c r="A8" s="6" t="s">
        <v>46</v>
      </c>
      <c r="B8" s="7"/>
      <c r="C8" s="7"/>
      <c r="D8" s="7">
        <f t="shared" si="0"/>
        <v>0.8</v>
      </c>
      <c r="E8" s="7">
        <f t="shared" si="1"/>
        <v>0.2</v>
      </c>
      <c r="F8" s="7">
        <f t="shared" si="2"/>
        <v>1</v>
      </c>
      <c r="G8" s="7">
        <f t="shared" si="3"/>
        <v>1</v>
      </c>
    </row>
    <row r="9" spans="1:9" x14ac:dyDescent="0.3">
      <c r="A9" s="6" t="s">
        <v>47</v>
      </c>
      <c r="B9" s="7"/>
      <c r="C9" s="7"/>
      <c r="D9" s="7">
        <f t="shared" si="0"/>
        <v>0.8</v>
      </c>
      <c r="E9" s="7">
        <f t="shared" si="1"/>
        <v>0.2</v>
      </c>
      <c r="F9" s="7">
        <f t="shared" si="2"/>
        <v>1</v>
      </c>
      <c r="G9" s="7">
        <f t="shared" si="3"/>
        <v>1</v>
      </c>
    </row>
    <row r="10" spans="1:9" x14ac:dyDescent="0.3">
      <c r="A10" s="6" t="s">
        <v>48</v>
      </c>
      <c r="B10" s="7"/>
      <c r="C10" s="7"/>
      <c r="D10" s="7">
        <f t="shared" si="0"/>
        <v>0.8</v>
      </c>
      <c r="E10" s="7">
        <f t="shared" si="1"/>
        <v>0.2</v>
      </c>
      <c r="F10" s="7">
        <f t="shared" si="2"/>
        <v>1</v>
      </c>
      <c r="G10" s="7">
        <f t="shared" si="3"/>
        <v>1</v>
      </c>
    </row>
    <row r="11" spans="1:9" x14ac:dyDescent="0.3">
      <c r="A11" s="6" t="s">
        <v>49</v>
      </c>
      <c r="B11" s="7"/>
      <c r="C11" s="7"/>
      <c r="D11" s="7">
        <f t="shared" si="0"/>
        <v>0.8</v>
      </c>
      <c r="E11" s="7">
        <f t="shared" si="1"/>
        <v>0.2</v>
      </c>
      <c r="F11" s="7">
        <f t="shared" si="2"/>
        <v>1</v>
      </c>
      <c r="G11" s="7">
        <f t="shared" si="3"/>
        <v>1</v>
      </c>
    </row>
    <row r="12" spans="1:9" x14ac:dyDescent="0.3">
      <c r="A12" s="6" t="s">
        <v>50</v>
      </c>
      <c r="B12" s="7"/>
      <c r="C12" s="7"/>
      <c r="D12" s="7">
        <f t="shared" si="0"/>
        <v>0.8</v>
      </c>
      <c r="E12" s="7">
        <f t="shared" si="1"/>
        <v>0.2</v>
      </c>
      <c r="F12" s="7">
        <f t="shared" si="2"/>
        <v>1</v>
      </c>
      <c r="G12" s="7">
        <f t="shared" si="3"/>
        <v>1</v>
      </c>
    </row>
    <row r="13" spans="1:9" x14ac:dyDescent="0.3">
      <c r="A13" s="6" t="s">
        <v>51</v>
      </c>
      <c r="B13" s="7"/>
      <c r="C13" s="7"/>
      <c r="D13" s="7">
        <f t="shared" si="0"/>
        <v>0.8</v>
      </c>
      <c r="E13" s="7">
        <f t="shared" si="1"/>
        <v>0.2</v>
      </c>
      <c r="F13" s="7">
        <f t="shared" si="2"/>
        <v>1</v>
      </c>
      <c r="G13" s="7">
        <f t="shared" si="3"/>
        <v>1</v>
      </c>
    </row>
    <row r="14" spans="1:9" x14ac:dyDescent="0.3">
      <c r="A14" s="6" t="s">
        <v>52</v>
      </c>
      <c r="B14" s="7"/>
      <c r="C14" s="7"/>
      <c r="D14" s="7">
        <f t="shared" si="0"/>
        <v>0.8</v>
      </c>
      <c r="E14" s="7">
        <f t="shared" si="1"/>
        <v>0.2</v>
      </c>
      <c r="F14" s="7">
        <f t="shared" si="2"/>
        <v>1</v>
      </c>
      <c r="G14" s="7">
        <f t="shared" si="3"/>
        <v>1</v>
      </c>
    </row>
    <row r="15" spans="1:9" x14ac:dyDescent="0.3">
      <c r="A15" s="6" t="s">
        <v>53</v>
      </c>
      <c r="B15" s="7"/>
      <c r="C15" s="7"/>
      <c r="D15" s="7">
        <f t="shared" si="0"/>
        <v>0.8</v>
      </c>
      <c r="E15" s="7">
        <f t="shared" si="1"/>
        <v>0.2</v>
      </c>
      <c r="F15" s="7">
        <f t="shared" si="2"/>
        <v>1</v>
      </c>
      <c r="G15" s="7">
        <f t="shared" si="3"/>
        <v>1</v>
      </c>
    </row>
    <row r="16" spans="1:9" x14ac:dyDescent="0.3">
      <c r="A16" s="6" t="s">
        <v>54</v>
      </c>
      <c r="B16" s="7"/>
      <c r="C16" s="7"/>
      <c r="D16" s="7">
        <f t="shared" si="0"/>
        <v>0.8</v>
      </c>
      <c r="E16" s="7">
        <f t="shared" si="1"/>
        <v>0.2</v>
      </c>
      <c r="F16" s="7">
        <f t="shared" si="2"/>
        <v>1</v>
      </c>
      <c r="G16" s="7">
        <f t="shared" si="3"/>
        <v>1</v>
      </c>
    </row>
    <row r="17" spans="1:7" x14ac:dyDescent="0.3">
      <c r="A17" s="6" t="s">
        <v>55</v>
      </c>
      <c r="B17" s="7"/>
      <c r="C17" s="7"/>
      <c r="D17" s="7">
        <f t="shared" si="0"/>
        <v>0.8</v>
      </c>
      <c r="E17" s="7">
        <f t="shared" si="1"/>
        <v>0.2</v>
      </c>
      <c r="F17" s="7">
        <f t="shared" si="2"/>
        <v>1</v>
      </c>
      <c r="G17" s="7">
        <f t="shared" si="3"/>
        <v>1</v>
      </c>
    </row>
    <row r="18" spans="1:7" x14ac:dyDescent="0.3">
      <c r="A18" s="6" t="s">
        <v>56</v>
      </c>
      <c r="B18" s="7"/>
      <c r="C18" s="7"/>
      <c r="D18" s="7">
        <f t="shared" si="0"/>
        <v>0.8</v>
      </c>
      <c r="E18" s="7">
        <f t="shared" si="1"/>
        <v>0.2</v>
      </c>
      <c r="F18" s="7">
        <f t="shared" si="2"/>
        <v>1</v>
      </c>
      <c r="G18" s="7">
        <f t="shared" si="3"/>
        <v>1</v>
      </c>
    </row>
    <row r="19" spans="1:7" x14ac:dyDescent="0.3">
      <c r="A19" s="6" t="s">
        <v>57</v>
      </c>
      <c r="B19" s="7"/>
      <c r="C19" s="7"/>
      <c r="D19" s="7">
        <f t="shared" si="0"/>
        <v>0.8</v>
      </c>
      <c r="E19" s="7">
        <f t="shared" si="1"/>
        <v>0.2</v>
      </c>
      <c r="F19" s="7">
        <f t="shared" si="2"/>
        <v>1</v>
      </c>
      <c r="G19" s="7">
        <f t="shared" si="3"/>
        <v>1</v>
      </c>
    </row>
    <row r="20" spans="1:7" x14ac:dyDescent="0.3">
      <c r="A20" s="6" t="s">
        <v>58</v>
      </c>
      <c r="B20" s="7"/>
      <c r="C20" s="7"/>
      <c r="D20" s="7">
        <f t="shared" si="0"/>
        <v>0.8</v>
      </c>
      <c r="E20" s="7">
        <f t="shared" si="1"/>
        <v>0.2</v>
      </c>
      <c r="F20" s="7">
        <f t="shared" si="2"/>
        <v>1</v>
      </c>
      <c r="G20" s="7">
        <f t="shared" si="3"/>
        <v>1</v>
      </c>
    </row>
    <row r="21" spans="1:7" x14ac:dyDescent="0.3">
      <c r="A21" s="6" t="s">
        <v>59</v>
      </c>
      <c r="B21" s="7"/>
      <c r="C21" s="7"/>
      <c r="D21" s="7">
        <f t="shared" si="0"/>
        <v>0.8</v>
      </c>
      <c r="E21" s="7">
        <f t="shared" si="1"/>
        <v>0.2</v>
      </c>
      <c r="F21" s="7">
        <f t="shared" si="2"/>
        <v>1</v>
      </c>
      <c r="G21" s="7">
        <f t="shared" si="3"/>
        <v>1</v>
      </c>
    </row>
    <row r="22" spans="1:7" x14ac:dyDescent="0.3">
      <c r="A22" s="6" t="s">
        <v>60</v>
      </c>
      <c r="B22" s="7"/>
      <c r="C22" s="7"/>
      <c r="D22" s="7">
        <f t="shared" si="0"/>
        <v>0.8</v>
      </c>
      <c r="E22" s="7">
        <f t="shared" si="1"/>
        <v>0.2</v>
      </c>
      <c r="F22" s="7">
        <f t="shared" si="2"/>
        <v>1</v>
      </c>
      <c r="G22" s="7">
        <f t="shared" si="3"/>
        <v>1</v>
      </c>
    </row>
    <row r="23" spans="1:7" x14ac:dyDescent="0.3">
      <c r="A23" s="6" t="s">
        <v>61</v>
      </c>
      <c r="B23" s="7"/>
      <c r="C23" s="7"/>
      <c r="D23" s="7">
        <f t="shared" si="0"/>
        <v>0.8</v>
      </c>
      <c r="E23" s="7">
        <f t="shared" si="1"/>
        <v>0.2</v>
      </c>
      <c r="F23" s="7">
        <f t="shared" si="2"/>
        <v>1</v>
      </c>
      <c r="G23" s="7">
        <f t="shared" si="3"/>
        <v>1</v>
      </c>
    </row>
    <row r="24" spans="1:7" x14ac:dyDescent="0.3">
      <c r="A24" s="6" t="s">
        <v>62</v>
      </c>
      <c r="B24" s="7"/>
      <c r="C24" s="7"/>
      <c r="D24" s="7">
        <f t="shared" si="0"/>
        <v>0.8</v>
      </c>
      <c r="E24" s="7">
        <f t="shared" si="1"/>
        <v>0.2</v>
      </c>
      <c r="F24" s="7">
        <f t="shared" si="2"/>
        <v>1</v>
      </c>
      <c r="G24" s="7">
        <f t="shared" si="3"/>
        <v>1</v>
      </c>
    </row>
    <row r="25" spans="1:7" x14ac:dyDescent="0.3">
      <c r="A25" s="6" t="s">
        <v>63</v>
      </c>
      <c r="B25" s="7"/>
      <c r="C25" s="7"/>
      <c r="D25" s="7">
        <f t="shared" si="0"/>
        <v>0.8</v>
      </c>
      <c r="E25" s="7">
        <f t="shared" si="1"/>
        <v>0.2</v>
      </c>
      <c r="F25" s="7">
        <f t="shared" si="2"/>
        <v>1</v>
      </c>
      <c r="G25" s="7">
        <f t="shared" si="3"/>
        <v>1</v>
      </c>
    </row>
    <row r="26" spans="1:7" x14ac:dyDescent="0.3">
      <c r="A26" s="6" t="s">
        <v>64</v>
      </c>
      <c r="B26" s="7"/>
      <c r="C26" s="7"/>
      <c r="D26" s="7">
        <f t="shared" si="0"/>
        <v>0.8</v>
      </c>
      <c r="E26" s="7">
        <f t="shared" si="1"/>
        <v>0.2</v>
      </c>
      <c r="F26" s="7">
        <f t="shared" si="2"/>
        <v>1</v>
      </c>
      <c r="G26" s="7">
        <f t="shared" si="3"/>
        <v>1</v>
      </c>
    </row>
    <row r="27" spans="1:7" x14ac:dyDescent="0.3">
      <c r="A27" s="6" t="s">
        <v>65</v>
      </c>
      <c r="B27" s="7"/>
      <c r="C27" s="7"/>
      <c r="D27" s="7">
        <f t="shared" si="0"/>
        <v>0.8</v>
      </c>
      <c r="E27" s="7">
        <f t="shared" si="1"/>
        <v>0.2</v>
      </c>
      <c r="F27" s="7">
        <f t="shared" si="2"/>
        <v>1</v>
      </c>
      <c r="G27" s="7">
        <f t="shared" si="3"/>
        <v>1</v>
      </c>
    </row>
    <row r="28" spans="1:7" x14ac:dyDescent="0.3">
      <c r="A28" s="6" t="s">
        <v>66</v>
      </c>
      <c r="B28" s="7"/>
      <c r="C28" s="7"/>
      <c r="D28" s="7">
        <f t="shared" si="0"/>
        <v>0.8</v>
      </c>
      <c r="E28" s="7">
        <f t="shared" si="1"/>
        <v>0.2</v>
      </c>
      <c r="F28" s="7">
        <f t="shared" si="2"/>
        <v>1</v>
      </c>
      <c r="G28" s="7">
        <f t="shared" si="3"/>
        <v>1</v>
      </c>
    </row>
    <row r="29" spans="1:7" x14ac:dyDescent="0.3">
      <c r="A29" s="6" t="s">
        <v>67</v>
      </c>
      <c r="B29" s="7"/>
      <c r="C29" s="7"/>
      <c r="D29" s="7">
        <f t="shared" si="0"/>
        <v>0.8</v>
      </c>
      <c r="E29" s="7">
        <f t="shared" si="1"/>
        <v>0.2</v>
      </c>
      <c r="F29" s="7">
        <f t="shared" si="2"/>
        <v>1</v>
      </c>
      <c r="G29" s="7">
        <f t="shared" si="3"/>
        <v>1</v>
      </c>
    </row>
    <row r="30" spans="1:7" x14ac:dyDescent="0.3">
      <c r="A30" s="6" t="s">
        <v>68</v>
      </c>
      <c r="B30" s="7"/>
      <c r="C30" s="7"/>
      <c r="D30" s="7">
        <f t="shared" si="0"/>
        <v>0.8</v>
      </c>
      <c r="E30" s="7">
        <f t="shared" si="1"/>
        <v>0.2</v>
      </c>
      <c r="F30" s="7">
        <f t="shared" si="2"/>
        <v>1</v>
      </c>
      <c r="G30" s="7">
        <f t="shared" si="3"/>
        <v>1</v>
      </c>
    </row>
    <row r="31" spans="1:7" x14ac:dyDescent="0.3">
      <c r="A31" s="6" t="s">
        <v>69</v>
      </c>
      <c r="B31" s="7"/>
      <c r="C31" s="7"/>
      <c r="D31" s="7">
        <f t="shared" si="0"/>
        <v>0.8</v>
      </c>
      <c r="E31" s="7">
        <f t="shared" si="1"/>
        <v>0.2</v>
      </c>
      <c r="F31" s="7">
        <f t="shared" si="2"/>
        <v>1</v>
      </c>
      <c r="G31" s="7">
        <f t="shared" si="3"/>
        <v>1</v>
      </c>
    </row>
    <row r="32" spans="1:7" x14ac:dyDescent="0.3">
      <c r="A32" s="6" t="s">
        <v>70</v>
      </c>
      <c r="B32" s="7"/>
      <c r="C32" s="7"/>
      <c r="D32" s="7">
        <f t="shared" si="0"/>
        <v>0.8</v>
      </c>
      <c r="E32" s="7">
        <f t="shared" si="1"/>
        <v>0.2</v>
      </c>
      <c r="F32" s="7">
        <f t="shared" si="2"/>
        <v>1</v>
      </c>
      <c r="G32" s="7">
        <f t="shared" si="3"/>
        <v>1</v>
      </c>
    </row>
    <row r="33" spans="1:7" x14ac:dyDescent="0.3">
      <c r="A33" s="6" t="s">
        <v>71</v>
      </c>
      <c r="B33" s="7"/>
      <c r="C33" s="7"/>
      <c r="D33" s="7">
        <f t="shared" si="0"/>
        <v>0.8</v>
      </c>
      <c r="E33" s="7">
        <f t="shared" si="1"/>
        <v>0.2</v>
      </c>
      <c r="F33" s="7">
        <f t="shared" si="2"/>
        <v>1</v>
      </c>
      <c r="G33" s="7">
        <f t="shared" si="3"/>
        <v>1</v>
      </c>
    </row>
    <row r="34" spans="1:7" x14ac:dyDescent="0.3">
      <c r="A34" s="6" t="s">
        <v>72</v>
      </c>
      <c r="B34" s="7"/>
      <c r="C34" s="7"/>
      <c r="D34" s="7">
        <f t="shared" si="0"/>
        <v>0.8</v>
      </c>
      <c r="E34" s="7">
        <f t="shared" si="1"/>
        <v>0.2</v>
      </c>
      <c r="F34" s="7">
        <f t="shared" si="2"/>
        <v>1</v>
      </c>
      <c r="G34" s="7">
        <f t="shared" si="3"/>
        <v>1</v>
      </c>
    </row>
    <row r="35" spans="1:7" x14ac:dyDescent="0.3">
      <c r="A35" s="6" t="s">
        <v>73</v>
      </c>
      <c r="B35" s="7"/>
      <c r="C35" s="7"/>
      <c r="D35" s="7">
        <f t="shared" si="0"/>
        <v>0.8</v>
      </c>
      <c r="E35" s="7">
        <f t="shared" si="1"/>
        <v>0.2</v>
      </c>
      <c r="F35" s="7">
        <f t="shared" si="2"/>
        <v>1</v>
      </c>
      <c r="G35" s="7">
        <f t="shared" si="3"/>
        <v>1</v>
      </c>
    </row>
    <row r="36" spans="1:7" x14ac:dyDescent="0.3">
      <c r="A36" s="6" t="s">
        <v>74</v>
      </c>
      <c r="B36" s="7"/>
      <c r="C36" s="7"/>
      <c r="D36" s="7">
        <f t="shared" si="0"/>
        <v>0.8</v>
      </c>
      <c r="E36" s="7">
        <f t="shared" si="1"/>
        <v>0.2</v>
      </c>
      <c r="F36" s="7">
        <f t="shared" si="2"/>
        <v>1</v>
      </c>
      <c r="G36" s="7">
        <f t="shared" si="3"/>
        <v>1</v>
      </c>
    </row>
    <row r="37" spans="1:7" x14ac:dyDescent="0.3">
      <c r="A37" s="6" t="s">
        <v>75</v>
      </c>
      <c r="B37" s="7"/>
      <c r="C37" s="7"/>
      <c r="D37" s="7">
        <f t="shared" si="0"/>
        <v>0.8</v>
      </c>
      <c r="E37" s="7">
        <f t="shared" si="1"/>
        <v>0.2</v>
      </c>
      <c r="F37" s="7">
        <f t="shared" si="2"/>
        <v>1</v>
      </c>
      <c r="G37" s="7">
        <f t="shared" si="3"/>
        <v>1</v>
      </c>
    </row>
    <row r="38" spans="1:7" x14ac:dyDescent="0.3">
      <c r="A38" s="6" t="s">
        <v>76</v>
      </c>
      <c r="B38" s="7"/>
      <c r="C38" s="7"/>
      <c r="D38" s="7">
        <f t="shared" si="0"/>
        <v>0.8</v>
      </c>
      <c r="E38" s="7">
        <f t="shared" si="1"/>
        <v>0.2</v>
      </c>
      <c r="F38" s="7">
        <f t="shared" si="2"/>
        <v>1</v>
      </c>
      <c r="G38" s="7">
        <f t="shared" si="3"/>
        <v>1</v>
      </c>
    </row>
    <row r="39" spans="1:7" x14ac:dyDescent="0.3">
      <c r="A39" s="6" t="s">
        <v>77</v>
      </c>
      <c r="B39" s="7"/>
      <c r="C39" s="7"/>
      <c r="D39" s="7">
        <f t="shared" si="0"/>
        <v>0.8</v>
      </c>
      <c r="E39" s="7">
        <f t="shared" si="1"/>
        <v>0.2</v>
      </c>
      <c r="F39" s="7">
        <f t="shared" si="2"/>
        <v>1</v>
      </c>
      <c r="G39" s="7">
        <f t="shared" si="3"/>
        <v>1</v>
      </c>
    </row>
    <row r="40" spans="1:7" x14ac:dyDescent="0.3">
      <c r="A40" t="s">
        <v>78</v>
      </c>
      <c r="B40" s="8" t="s">
        <v>79</v>
      </c>
      <c r="C40" s="8" t="s">
        <v>79</v>
      </c>
      <c r="D40" s="8" t="s">
        <v>80</v>
      </c>
      <c r="F40" s="8">
        <f>SUM(B40:C40)</f>
        <v>0</v>
      </c>
    </row>
    <row r="41" spans="1:7" x14ac:dyDescent="0.3">
      <c r="B41" s="8" t="s">
        <v>112</v>
      </c>
      <c r="C41" s="8" t="s">
        <v>81</v>
      </c>
    </row>
  </sheetData>
  <autoFilter ref="A1:G39" xr:uid="{00000000-0001-0000-0200-000000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8"/>
  <sheetViews>
    <sheetView workbookViewId="0">
      <selection activeCell="J32" sqref="J32"/>
    </sheetView>
  </sheetViews>
  <sheetFormatPr baseColWidth="10" defaultColWidth="8.6640625" defaultRowHeight="14.4" x14ac:dyDescent="0.3"/>
  <cols>
    <col min="1" max="1" width="50.6640625" style="1" customWidth="1"/>
    <col min="2" max="16384" width="8.6640625" style="1"/>
  </cols>
  <sheetData>
    <row r="1" spans="1:1" ht="28.8" x14ac:dyDescent="0.3">
      <c r="A1" s="1" t="s">
        <v>82</v>
      </c>
    </row>
    <row r="3" spans="1:1" x14ac:dyDescent="0.3">
      <c r="A3" s="1" t="s">
        <v>83</v>
      </c>
    </row>
    <row r="4" spans="1:1" x14ac:dyDescent="0.3">
      <c r="A4" s="1" t="s">
        <v>84</v>
      </c>
    </row>
    <row r="5" spans="1:1" x14ac:dyDescent="0.3">
      <c r="A5" s="1" t="s">
        <v>85</v>
      </c>
    </row>
    <row r="6" spans="1:1" x14ac:dyDescent="0.3">
      <c r="A6" s="1" t="s">
        <v>86</v>
      </c>
    </row>
    <row r="8" spans="1:1" x14ac:dyDescent="0.3">
      <c r="A8" s="1" t="s">
        <v>87</v>
      </c>
    </row>
    <row r="10" spans="1:1" x14ac:dyDescent="0.3">
      <c r="A10" s="1" t="s">
        <v>88</v>
      </c>
    </row>
    <row r="11" spans="1:1" ht="28.8" x14ac:dyDescent="0.3">
      <c r="A11" s="1" t="s">
        <v>89</v>
      </c>
    </row>
    <row r="12" spans="1:1" ht="28.8" x14ac:dyDescent="0.3">
      <c r="A12" s="1" t="s">
        <v>90</v>
      </c>
    </row>
    <row r="13" spans="1:1" x14ac:dyDescent="0.3">
      <c r="A13" s="1" t="s">
        <v>91</v>
      </c>
    </row>
    <row r="15" spans="1:1" x14ac:dyDescent="0.3">
      <c r="A15" s="1" t="s">
        <v>92</v>
      </c>
    </row>
    <row r="16" spans="1:1" x14ac:dyDescent="0.3">
      <c r="A16" s="1" t="s">
        <v>93</v>
      </c>
    </row>
    <row r="17" spans="1:1" x14ac:dyDescent="0.3">
      <c r="A17" s="1" t="s">
        <v>94</v>
      </c>
    </row>
    <row r="18" spans="1:1" ht="28.8" x14ac:dyDescent="0.3">
      <c r="A18" s="1" t="s">
        <v>95</v>
      </c>
    </row>
    <row r="19" spans="1:1" x14ac:dyDescent="0.3">
      <c r="A19" s="1" t="s">
        <v>96</v>
      </c>
    </row>
    <row r="21" spans="1:1" x14ac:dyDescent="0.3">
      <c r="A21" s="1" t="s">
        <v>97</v>
      </c>
    </row>
    <row r="22" spans="1:1" ht="28.8" x14ac:dyDescent="0.3">
      <c r="A22" s="1" t="s">
        <v>98</v>
      </c>
    </row>
    <row r="23" spans="1:1" x14ac:dyDescent="0.3">
      <c r="A23" s="1" t="s">
        <v>99</v>
      </c>
    </row>
    <row r="24" spans="1:1" x14ac:dyDescent="0.3">
      <c r="A24" s="1" t="s">
        <v>100</v>
      </c>
    </row>
    <row r="25" spans="1:1" x14ac:dyDescent="0.3">
      <c r="A25" s="1" t="s">
        <v>101</v>
      </c>
    </row>
    <row r="26" spans="1:1" x14ac:dyDescent="0.3">
      <c r="A26" s="1" t="s">
        <v>102</v>
      </c>
    </row>
    <row r="28" spans="1:1" x14ac:dyDescent="0.3">
      <c r="A28" s="1" t="s">
        <v>103</v>
      </c>
    </row>
    <row r="29" spans="1:1" ht="28.8" x14ac:dyDescent="0.3">
      <c r="A29" s="1" t="s">
        <v>104</v>
      </c>
    </row>
    <row r="30" spans="1:1" ht="28.8" x14ac:dyDescent="0.3">
      <c r="A30" s="1" t="s">
        <v>105</v>
      </c>
    </row>
    <row r="32" spans="1:1" x14ac:dyDescent="0.3">
      <c r="A32" s="1" t="s">
        <v>106</v>
      </c>
    </row>
    <row r="33" spans="1:1" x14ac:dyDescent="0.3">
      <c r="A33" s="1" t="s">
        <v>107</v>
      </c>
    </row>
    <row r="34" spans="1:1" ht="28.8" x14ac:dyDescent="0.3">
      <c r="A34" s="1" t="s">
        <v>108</v>
      </c>
    </row>
    <row r="35" spans="1:1" ht="28.8" x14ac:dyDescent="0.3">
      <c r="A35" s="1" t="s">
        <v>109</v>
      </c>
    </row>
    <row r="37" spans="1:1" x14ac:dyDescent="0.3">
      <c r="A37" s="1" t="s">
        <v>110</v>
      </c>
    </row>
    <row r="38" spans="1:1" ht="28.8" x14ac:dyDescent="0.3">
      <c r="A38" s="1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8B4C987F19498764638F90A5ADB6" ma:contentTypeVersion="3" ma:contentTypeDescription="Crée un document." ma:contentTypeScope="" ma:versionID="2f61a2ea100cefebdf968191b740f5d8">
  <xsd:schema xmlns:xsd="http://www.w3.org/2001/XMLSchema" xmlns:xs="http://www.w3.org/2001/XMLSchema" xmlns:p="http://schemas.microsoft.com/office/2006/metadata/properties" xmlns:ns2="93c24326-e9dc-42f0-be2c-77e6a8b624ac" targetNamespace="http://schemas.microsoft.com/office/2006/metadata/properties" ma:root="true" ma:fieldsID="80a8836b14fbfcc880a6f3221f68d0b7" ns2:_="">
    <xsd:import namespace="93c24326-e9dc-42f0-be2c-77e6a8b62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24326-e9dc-42f0-be2c-77e6a8b624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1AAC25-93B6-404E-B5DD-0B4B3AB8C7F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3c24326-e9dc-42f0-be2c-77e6a8b624a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E2D15F1-3D57-4304-8AE3-37AC0CE5C8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CC1918-9BC8-4EE5-8BCC-1488F4F191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c24326-e9dc-42f0-be2c-77e6a8b62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Vidéo de Pitch</vt:lpstr>
      <vt:lpstr>(Bonus)Livrable Technique</vt:lpstr>
      <vt:lpstr>Synthèse Jury &amp; Classement Auto</vt:lpstr>
      <vt:lpstr>Mode d'emploi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ANDONIMOUTTOU Marie-Sidonie</cp:lastModifiedBy>
  <cp:revision/>
  <dcterms:created xsi:type="dcterms:W3CDTF">2026-01-23T09:28:19Z</dcterms:created>
  <dcterms:modified xsi:type="dcterms:W3CDTF">2026-03-13T08:29:35Z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0x01010007EC8B4C987F19498764638F90A5ADB6</vt:lpwstr>
  </property>
  <property fmtid="{D5CDD505-2E9C-101B-9397-08002B2CF9AE}" pid="3" name="Order">
    <vt:r8>5300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